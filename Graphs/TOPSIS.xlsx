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MAMS\AutonomousMultirotorMapper\"/>
    </mc:Choice>
  </mc:AlternateContent>
  <xr:revisionPtr revIDLastSave="0" documentId="8_{9EA44F4C-3119-4AED-9A60-6D7C4E6AFED2}" xr6:coauthVersionLast="47" xr6:coauthVersionMax="47" xr10:uidLastSave="{00000000-0000-0000-0000-000000000000}"/>
  <bookViews>
    <workbookView xWindow="-96" yWindow="0" windowWidth="11712" windowHeight="12336" xr2:uid="{CEFDA7F0-6499-4E4E-906E-B85C40AC9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D9" i="1"/>
  <c r="D10" i="1"/>
  <c r="D8" i="1"/>
  <c r="C10" i="1"/>
  <c r="C6" i="1"/>
  <c r="C9" i="1" s="1"/>
  <c r="D6" i="1"/>
  <c r="B6" i="1"/>
  <c r="B9" i="1" s="1"/>
  <c r="C8" i="1" l="1"/>
  <c r="B8" i="1"/>
  <c r="C16" i="1" s="1"/>
  <c r="B10" i="1"/>
  <c r="C18" i="1" s="1"/>
  <c r="C17" i="1"/>
  <c r="B17" i="1"/>
  <c r="D17" i="1" l="1"/>
  <c r="B18" i="1"/>
  <c r="D18" i="1" s="1"/>
  <c r="B16" i="1"/>
  <c r="D16" i="1" s="1"/>
</calcChain>
</file>

<file path=xl/sharedStrings.xml><?xml version="1.0" encoding="utf-8"?>
<sst xmlns="http://schemas.openxmlformats.org/spreadsheetml/2006/main" count="14" uniqueCount="11">
  <si>
    <t>Custom YOLO</t>
  </si>
  <si>
    <t>Color Bounding</t>
  </si>
  <si>
    <t>Pretrained YOLO</t>
  </si>
  <si>
    <t>Accuracy</t>
  </si>
  <si>
    <t>Direction</t>
  </si>
  <si>
    <t>Latency</t>
  </si>
  <si>
    <t>A+</t>
  </si>
  <si>
    <t>A-</t>
  </si>
  <si>
    <t>s+</t>
  </si>
  <si>
    <t>s-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</si>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</sst>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62AA-F25A-4CBB-B3C9-7BF84C082A53}">
  <dimension ref="A1:G18"/>
  <sheetViews>
    <sheetView tabSelected="1" workbookViewId="0">
      <selection activeCell="F16" sqref="F16"/>
    </sheetView>
  </sheetViews>
  <sheetFormatPr defaultRowHeight="14.4" x14ac:dyDescent="0.3"/>
  <sheetData>
    <row r="1" spans="1:7" x14ac:dyDescent="0.3">
      <c r="B1" t="s">
        <v>3</v>
      </c>
      <c r="C1" t="s">
        <v>4</v>
      </c>
      <c r="D1" t="s">
        <v>5</v>
      </c>
    </row>
    <row r="2" spans="1:7" x14ac:dyDescent="0.3">
      <c r="A2" t="s">
        <v>0</v>
      </c>
      <c r="B2" s="1">
        <v>1</v>
      </c>
      <c r="C2" s="1">
        <v>0.92500000000000004</v>
      </c>
      <c r="D2">
        <v>100</v>
      </c>
    </row>
    <row r="3" spans="1:7" x14ac:dyDescent="0.3">
      <c r="A3" t="s">
        <v>1</v>
      </c>
      <c r="B3" s="1">
        <v>0.95</v>
      </c>
      <c r="C3" s="1">
        <v>0.17499999999999999</v>
      </c>
      <c r="D3">
        <v>7</v>
      </c>
    </row>
    <row r="4" spans="1:7" x14ac:dyDescent="0.3">
      <c r="A4" t="s">
        <v>2</v>
      </c>
      <c r="B4" s="1">
        <v>0.35</v>
      </c>
      <c r="C4" s="1">
        <v>0.1</v>
      </c>
      <c r="D4">
        <v>142</v>
      </c>
      <c r="G4">
        <f>0.175*40</f>
        <v>7</v>
      </c>
    </row>
    <row r="6" spans="1:7" x14ac:dyDescent="0.3">
      <c r="B6" s="1">
        <f>(B2^2+B3^2+B4^2)^0.5</f>
        <v>1.4230249470757708</v>
      </c>
      <c r="C6" s="1">
        <f t="shared" ref="C6:D6" si="0">(C2^2+C3^2+C4^2)^0.5</f>
        <v>0.9467048114380745</v>
      </c>
      <c r="D6" s="1">
        <f t="shared" si="0"/>
        <v>173.81887124245171</v>
      </c>
    </row>
    <row r="8" spans="1:7" x14ac:dyDescent="0.3">
      <c r="B8">
        <f>B2/B$6*(1/2)</f>
        <v>0.35136418446315326</v>
      </c>
      <c r="C8">
        <f>C2/C$6*(1/3)</f>
        <v>0.32569110202890517</v>
      </c>
      <c r="D8">
        <f>D2/D$6*(1/6)</f>
        <v>9.5885254273795864E-2</v>
      </c>
    </row>
    <row r="9" spans="1:7" x14ac:dyDescent="0.3">
      <c r="B9">
        <f t="shared" ref="B9:B10" si="1">B3/B$6*(1/2)</f>
        <v>0.33379597523999555</v>
      </c>
      <c r="C9">
        <f t="shared" ref="C9:C10" si="2">C3/C$6*(1/3)</f>
        <v>6.1617235518982051E-2</v>
      </c>
      <c r="D9">
        <f t="shared" ref="D9:D12" si="3">D3/D$6*(1/6)</f>
        <v>6.7119677991657103E-3</v>
      </c>
    </row>
    <row r="10" spans="1:7" x14ac:dyDescent="0.3">
      <c r="B10">
        <f t="shared" si="1"/>
        <v>0.12297746456210362</v>
      </c>
      <c r="C10">
        <f t="shared" si="2"/>
        <v>3.5209848867989745E-2</v>
      </c>
      <c r="D10">
        <f t="shared" si="3"/>
        <v>0.13615706106879014</v>
      </c>
    </row>
    <row r="12" spans="1:7" x14ac:dyDescent="0.3">
      <c r="A12" t="s">
        <v>6</v>
      </c>
      <c r="B12">
        <v>0.35136418446315326</v>
      </c>
      <c r="C12">
        <v>0.32569110202890517</v>
      </c>
      <c r="D12">
        <v>6.7119677991657103E-3</v>
      </c>
    </row>
    <row r="13" spans="1:7" x14ac:dyDescent="0.3">
      <c r="A13" t="s">
        <v>7</v>
      </c>
      <c r="B13">
        <v>0.12297746456210362</v>
      </c>
      <c r="C13">
        <v>3.5209848867989745E-2</v>
      </c>
      <c r="D13">
        <v>0.13615706106879014</v>
      </c>
    </row>
    <row r="15" spans="1:7" x14ac:dyDescent="0.3">
      <c r="B15" t="s">
        <v>8</v>
      </c>
      <c r="C15" t="s">
        <v>9</v>
      </c>
      <c r="D15" t="s">
        <v>10</v>
      </c>
    </row>
    <row r="16" spans="1:7" x14ac:dyDescent="0.3">
      <c r="A16" t="s">
        <v>0</v>
      </c>
      <c r="B16">
        <f>((B8-B$12)^2+(C8-C$12)^2+(D8-D$12)^2)^0.5</f>
        <v>8.9173286474630159E-2</v>
      </c>
      <c r="C16">
        <f>((B8-B$13)^2+(C8-C$13)^2+(D8-D$13)^2)^0.5</f>
        <v>0.37170105015674854</v>
      </c>
      <c r="D16">
        <f>C16/(C16+B16)</f>
        <v>0.80651279668463371</v>
      </c>
    </row>
    <row r="17" spans="1:4" x14ac:dyDescent="0.3">
      <c r="A17" t="s">
        <v>1</v>
      </c>
      <c r="B17">
        <f t="shared" ref="B17:B18" si="4">((B9-B$12)^2+(C9-C$12)^2+(D9-D$12)^2)^0.5</f>
        <v>0.26465760701103858</v>
      </c>
      <c r="C17">
        <f t="shared" ref="C17:C18" si="5">((B9-B$13)^2+(C9-C$13)^2+(D9-D$13)^2)^0.5</f>
        <v>0.24879273841043109</v>
      </c>
      <c r="D17">
        <f t="shared" ref="D17:D18" si="6">C17/(C17+B17)</f>
        <v>0.48455072750259365</v>
      </c>
    </row>
    <row r="18" spans="1:4" x14ac:dyDescent="0.3">
      <c r="A18" t="s">
        <v>2</v>
      </c>
      <c r="B18">
        <f t="shared" si="4"/>
        <v>0.39153018330223038</v>
      </c>
      <c r="C18">
        <f t="shared" si="5"/>
        <v>0</v>
      </c>
      <c r="D18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Prabhudesai, Arnav</dc:creator>
  <cp:lastModifiedBy>Prabhudesai, Arnav</cp:lastModifiedBy>
  <dcterms:created xsi:type="dcterms:W3CDTF">2026-02-06T06:04:48Z</dcterms:created>
  <dcterms:modified xsi:type="dcterms:W3CDTF">2026-02-06T06:39:41Z</dcterms:modified>
</cp:coreProperties>
</file>